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trieval" sheetId="1" state="visible" r:id="rId3"/>
    <sheet name="End-to-End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<sst xmlns="http://schemas.openxmlformats.org/spreadsheetml/2006/main" count="72" uniqueCount="56">
  <si>
    <t xml:space="preserve">DocPilot - Retrieval evaluation (Hit@3, MRR, latency)</t>
  </si>
  <si>
    <t xml:space="preserve">Blue = values copied from run_evals.py output; black = formulas. Runs used different question sets (see Notes).</t>
  </si>
  <si>
    <t xml:space="preserve">Run</t>
  </si>
  <si>
    <t xml:space="preserve">Embedder</t>
  </si>
  <si>
    <t xml:space="preserve">Strategy</t>
  </si>
  <si>
    <t xml:space="preserve">Answerable Qs</t>
  </si>
  <si>
    <t xml:space="preserve">Hits@3</t>
  </si>
  <si>
    <t xml:space="preserve">Hit@3</t>
  </si>
  <si>
    <t xml:space="preserve">MRR</t>
  </si>
  <si>
    <t xml:space="preserve">Avg latency (ms)</t>
  </si>
  <si>
    <t xml:space="preserve">Run 1</t>
  </si>
  <si>
    <t xml:space="preserve">hash</t>
  </si>
  <si>
    <t xml:space="preserve">bm25</t>
  </si>
  <si>
    <t xml:space="preserve">dense</t>
  </si>
  <si>
    <t xml:space="preserve">hybrid (RRF)</t>
  </si>
  <si>
    <t xml:space="preserve">hybrid + rerank</t>
  </si>
  <si>
    <t xml:space="preserve">Run 2</t>
  </si>
  <si>
    <t xml:space="preserve">st (MiniLM)</t>
  </si>
  <si>
    <t xml:space="preserve">Best Hit@3, Run 2</t>
  </si>
  <si>
    <t xml:space="preserve">Dense minus BM25 (Hit@3, Run 2)</t>
  </si>
  <si>
    <t xml:space="preserve">Gap = 1 question out of 16, so treat as directional, not proof.</t>
  </si>
  <si>
    <t xml:space="preserve">DocPilot - End-to-end behaviour (agent + guardrails)</t>
  </si>
  <si>
    <t xml:space="preserve">Metric</t>
  </si>
  <si>
    <t xml:space="preserve">Run 1 (hash)</t>
  </si>
  <si>
    <t xml:space="preserve">Run 2 (st)</t>
  </si>
  <si>
    <t xml:space="preserve">Notes</t>
  </si>
  <si>
    <t xml:space="preserve">Answerable questions</t>
  </si>
  <si>
    <t xml:space="preserve">From golden_set.jsonl</t>
  </si>
  <si>
    <t xml:space="preserve">Answered (not refused)</t>
  </si>
  <si>
    <t xml:space="preserve">Run 2: 14 of 16 answered (answer rate printed as 0.88)</t>
  </si>
  <si>
    <t xml:space="preserve">Answer rate</t>
  </si>
  <si>
    <t xml:space="preserve">Higher is better; refusals on answerable Qs hurt this</t>
  </si>
  <si>
    <t xml:space="preserve">Grounded answers (share)</t>
  </si>
  <si>
    <t xml:space="preserve">Extractive mode copies context, so high by construction</t>
  </si>
  <si>
    <t xml:space="preserve">Unanswerable questions</t>
  </si>
  <si>
    <t xml:space="preserve">Capital of Australia, PyTorch training, 2018 World Cup</t>
  </si>
  <si>
    <t xml:space="preserve">Correctly refused</t>
  </si>
  <si>
    <t xml:space="preserve">Refusal accuracy</t>
  </si>
  <si>
    <t xml:space="preserve">Guardrail stops out-of-scope questions</t>
  </si>
  <si>
    <t xml:space="preserve">Cache cold avg (ms)</t>
  </si>
  <si>
    <t xml:space="preserve">First pass through all answerable questions</t>
  </si>
  <si>
    <t xml:space="preserve">Cache warm avg (ms)</t>
  </si>
  <si>
    <t xml:space="preserve">Second pass, answers served from semantic cache</t>
  </si>
  <si>
    <t xml:space="preserve">Cache speedup (x)</t>
  </si>
  <si>
    <t xml:space="preserve">Cold / warm</t>
  </si>
  <si>
    <t xml:space="preserve">Key finding: retrieval found the right chunk, but the word-overlap refusal check still refused ~2 paraphrased questions (answer rate 0.88).</t>
  </si>
  <si>
    <t xml:space="preserve">Notes, assumptions and caveats</t>
  </si>
  <si>
    <t xml:space="preserve">Legend: blue text = numbers copied from evals/run_evals.py output; black = formulas computed in this workbook.</t>
  </si>
  <si>
    <t xml:space="preserve">Run 1: embedder=hash (offline hashed n-grams), LLM=extractive, 16 questions (13 answerable + 3 out-of-scope), after rewording the Kubernetes Deployments paragraph.</t>
  </si>
  <si>
    <t xml:space="preserve">Run 2: embedder=st (sentence-transformers all-MiniLM-L6-v2), LLM=extractive, 19 questions (16 answerable incl. 3 paraphrased questions added by the author, + 3 out-of-scope).</t>
  </si>
  <si>
    <t xml:space="preserve">Run 1 and Run 2 use different question sets, so they are not directly comparable. Compare strategies within a run only.</t>
  </si>
  <si>
    <t xml:space="preserve">Hits@3 counts for Run 2 were derived from the printed Hit@3 (0.94 = 15/16, 1.00 = 16/16); MRR values are as printed (rounded to 2 dp).</t>
  </si>
  <si>
    <t xml:space="preserve">Hit@3: expected doc AND expected phrase appear in one of the top 3 retrieved chunks.</t>
  </si>
  <si>
    <t xml:space="preserve">Latency is average retrieval time per question on the author's Windows machine; not a production benchmark.</t>
  </si>
  <si>
    <t xml:space="preserve">Limitations: tiny golden set (3 short docs, 15 chunks); extractive LLM makes grounding trivially high; refusal check and reranker are lexical (word overlap).</t>
  </si>
  <si>
    <t xml:space="preserve">Planned fix: use embedding similarity for the refusal check and reranker when embedder=st, then re-run and record as Run 3.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</si>
</sst>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\+0.00;\-0.00;0.00"/>
    <numFmt numFmtId="167" formatCode="0"/>
    <numFmt numFmtId="168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7" min="5" style="0" width="10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 t="s">
        <v>12</v>
      </c>
      <c r="D5" s="5" t="n">
        <v>13</v>
      </c>
      <c r="E5" s="5" t="n">
        <v>13</v>
      </c>
      <c r="F5" s="6" t="n">
        <f aca="false">E5/D5</f>
        <v>1</v>
      </c>
      <c r="G5" s="7" t="n">
        <v>1</v>
      </c>
      <c r="H5" s="7" t="n">
        <v>0.06</v>
      </c>
    </row>
    <row r="6" customFormat="false" ht="15" hidden="false" customHeight="false" outlineLevel="0" collapsed="false">
      <c r="A6" s="4" t="s">
        <v>10</v>
      </c>
      <c r="B6" s="4" t="s">
        <v>11</v>
      </c>
      <c r="C6" s="4" t="s">
        <v>13</v>
      </c>
      <c r="D6" s="5" t="n">
        <v>13</v>
      </c>
      <c r="E6" s="5" t="n">
        <v>13</v>
      </c>
      <c r="F6" s="6" t="n">
        <f aca="false">E6/D6</f>
        <v>1</v>
      </c>
      <c r="G6" s="7" t="n">
        <v>1</v>
      </c>
      <c r="H6" s="7" t="n">
        <v>0.06</v>
      </c>
    </row>
    <row r="7" customFormat="false" ht="15" hidden="false" customHeight="false" outlineLevel="0" collapsed="false">
      <c r="A7" s="4" t="s">
        <v>10</v>
      </c>
      <c r="B7" s="4" t="s">
        <v>11</v>
      </c>
      <c r="C7" s="4" t="s">
        <v>14</v>
      </c>
      <c r="D7" s="5" t="n">
        <v>13</v>
      </c>
      <c r="E7" s="5" t="n">
        <v>13</v>
      </c>
      <c r="F7" s="6" t="n">
        <f aca="false">E7/D7</f>
        <v>1</v>
      </c>
      <c r="G7" s="7" t="n">
        <v>1</v>
      </c>
      <c r="H7" s="7" t="n">
        <v>0.07</v>
      </c>
    </row>
    <row r="8" customFormat="false" ht="15" hidden="false" customHeight="false" outlineLevel="0" collapsed="false">
      <c r="A8" s="4" t="s">
        <v>10</v>
      </c>
      <c r="B8" s="4" t="s">
        <v>11</v>
      </c>
      <c r="C8" s="4" t="s">
        <v>15</v>
      </c>
      <c r="D8" s="5" t="n">
        <v>13</v>
      </c>
      <c r="E8" s="5" t="n">
        <v>13</v>
      </c>
      <c r="F8" s="6" t="n">
        <f aca="false">E8/D8</f>
        <v>1</v>
      </c>
      <c r="G8" s="7" t="n">
        <v>1</v>
      </c>
      <c r="H8" s="7" t="n">
        <v>0.53</v>
      </c>
    </row>
    <row r="9" customFormat="false" ht="15" hidden="false" customHeight="false" outlineLevel="0" collapsed="false">
      <c r="A9" s="4" t="s">
        <v>16</v>
      </c>
      <c r="B9" s="4" t="s">
        <v>17</v>
      </c>
      <c r="C9" s="4" t="s">
        <v>12</v>
      </c>
      <c r="D9" s="5" t="n">
        <v>16</v>
      </c>
      <c r="E9" s="5" t="n">
        <v>15</v>
      </c>
      <c r="F9" s="6" t="n">
        <f aca="false">E9/D9</f>
        <v>0.9375</v>
      </c>
      <c r="G9" s="7" t="n">
        <v>0.94</v>
      </c>
      <c r="H9" s="7" t="n">
        <v>8.89</v>
      </c>
    </row>
    <row r="10" customFormat="false" ht="15" hidden="false" customHeight="false" outlineLevel="0" collapsed="false">
      <c r="A10" s="4" t="s">
        <v>16</v>
      </c>
      <c r="B10" s="4" t="s">
        <v>17</v>
      </c>
      <c r="C10" s="4" t="s">
        <v>13</v>
      </c>
      <c r="D10" s="5" t="n">
        <v>16</v>
      </c>
      <c r="E10" s="5" t="n">
        <v>16</v>
      </c>
      <c r="F10" s="6" t="n">
        <f aca="false">E10/D10</f>
        <v>1</v>
      </c>
      <c r="G10" s="7" t="n">
        <v>1</v>
      </c>
      <c r="H10" s="7" t="n">
        <v>9.43</v>
      </c>
    </row>
    <row r="11" customFormat="false" ht="15" hidden="false" customHeight="false" outlineLevel="0" collapsed="false">
      <c r="A11" s="4" t="s">
        <v>16</v>
      </c>
      <c r="B11" s="4" t="s">
        <v>17</v>
      </c>
      <c r="C11" s="4" t="s">
        <v>14</v>
      </c>
      <c r="D11" s="5" t="n">
        <v>16</v>
      </c>
      <c r="E11" s="5" t="n">
        <v>16</v>
      </c>
      <c r="F11" s="6" t="n">
        <f aca="false">E11/D11</f>
        <v>1</v>
      </c>
      <c r="G11" s="7" t="n">
        <v>0.97</v>
      </c>
      <c r="H11" s="7" t="n">
        <v>9.77</v>
      </c>
    </row>
    <row r="12" customFormat="false" ht="15" hidden="false" customHeight="false" outlineLevel="0" collapsed="false">
      <c r="A12" s="4" t="s">
        <v>16</v>
      </c>
      <c r="B12" s="4" t="s">
        <v>17</v>
      </c>
      <c r="C12" s="4" t="s">
        <v>15</v>
      </c>
      <c r="D12" s="5" t="n">
        <v>16</v>
      </c>
      <c r="E12" s="5" t="n">
        <v>15</v>
      </c>
      <c r="F12" s="6" t="n">
        <f aca="false">E12/D12</f>
        <v>0.9375</v>
      </c>
      <c r="G12" s="7" t="n">
        <v>0.94</v>
      </c>
      <c r="H12" s="7" t="n">
        <v>9.44</v>
      </c>
    </row>
    <row r="14" customFormat="false" ht="15" hidden="false" customHeight="false" outlineLevel="0" collapsed="false">
      <c r="A14" s="8" t="s">
        <v>18</v>
      </c>
      <c r="F14" s="9" t="n">
        <f aca="false">MAX(F9:F12)</f>
        <v>1</v>
      </c>
    </row>
    <row r="15" customFormat="false" ht="15" hidden="false" customHeight="false" outlineLevel="0" collapsed="false">
      <c r="A15" s="8" t="s">
        <v>19</v>
      </c>
      <c r="F15" s="10" t="n">
        <f aca="false">F10-F9</f>
        <v>0.0625</v>
      </c>
    </row>
    <row r="16" customFormat="false" ht="15" hidden="false" customHeight="false" outlineLevel="0" collapsed="false">
      <c r="A16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62"/>
  </cols>
  <sheetData>
    <row r="1" customFormat="false" ht="17.35" hidden="false" customHeight="false" outlineLevel="0" collapsed="false">
      <c r="A1" s="1" t="s">
        <v>21</v>
      </c>
    </row>
    <row r="3" customFormat="false" ht="15" hidden="false" customHeight="false" outlineLevel="0" collapsed="false">
      <c r="A3" s="3" t="s">
        <v>22</v>
      </c>
      <c r="B3" s="3" t="s">
        <v>23</v>
      </c>
      <c r="C3" s="3" t="s">
        <v>24</v>
      </c>
      <c r="D3" s="3" t="s">
        <v>25</v>
      </c>
    </row>
    <row r="4" customFormat="false" ht="15" hidden="false" customHeight="false" outlineLevel="0" collapsed="false">
      <c r="A4" s="4" t="s">
        <v>26</v>
      </c>
      <c r="B4" s="11" t="n">
        <v>13</v>
      </c>
      <c r="C4" s="11" t="n">
        <v>16</v>
      </c>
      <c r="D4" s="4" t="s">
        <v>27</v>
      </c>
    </row>
    <row r="5" customFormat="false" ht="15" hidden="false" customHeight="false" outlineLevel="0" collapsed="false">
      <c r="A5" s="4" t="s">
        <v>28</v>
      </c>
      <c r="B5" s="11" t="n">
        <v>13</v>
      </c>
      <c r="C5" s="11" t="n">
        <v>14</v>
      </c>
      <c r="D5" s="4" t="s">
        <v>29</v>
      </c>
    </row>
    <row r="6" customFormat="false" ht="15" hidden="false" customHeight="false" outlineLevel="0" collapsed="false">
      <c r="A6" s="4" t="s">
        <v>30</v>
      </c>
      <c r="B6" s="6" t="n">
        <f aca="false">B5/B4</f>
        <v>1</v>
      </c>
      <c r="C6" s="6" t="n">
        <f aca="false">C5/C4</f>
        <v>0.875</v>
      </c>
      <c r="D6" s="4" t="s">
        <v>31</v>
      </c>
    </row>
    <row r="7" customFormat="false" ht="15" hidden="false" customHeight="false" outlineLevel="0" collapsed="false">
      <c r="A7" s="4" t="s">
        <v>32</v>
      </c>
      <c r="B7" s="7" t="n">
        <v>1</v>
      </c>
      <c r="C7" s="7" t="n">
        <v>1</v>
      </c>
      <c r="D7" s="4" t="s">
        <v>33</v>
      </c>
    </row>
    <row r="8" customFormat="false" ht="15" hidden="false" customHeight="false" outlineLevel="0" collapsed="false">
      <c r="A8" s="4" t="s">
        <v>34</v>
      </c>
      <c r="B8" s="11" t="n">
        <v>3</v>
      </c>
      <c r="C8" s="11" t="n">
        <v>3</v>
      </c>
      <c r="D8" s="4" t="s">
        <v>35</v>
      </c>
    </row>
    <row r="9" customFormat="false" ht="15" hidden="false" customHeight="false" outlineLevel="0" collapsed="false">
      <c r="A9" s="4" t="s">
        <v>36</v>
      </c>
      <c r="B9" s="11" t="n">
        <v>3</v>
      </c>
      <c r="C9" s="11" t="n">
        <v>3</v>
      </c>
      <c r="D9" s="4"/>
    </row>
    <row r="10" customFormat="false" ht="15" hidden="false" customHeight="false" outlineLevel="0" collapsed="false">
      <c r="A10" s="4" t="s">
        <v>37</v>
      </c>
      <c r="B10" s="6" t="n">
        <f aca="false">B9/B8</f>
        <v>1</v>
      </c>
      <c r="C10" s="6" t="n">
        <f aca="false">C9/C8</f>
        <v>1</v>
      </c>
      <c r="D10" s="4" t="s">
        <v>38</v>
      </c>
    </row>
    <row r="11" customFormat="false" ht="15" hidden="false" customHeight="false" outlineLevel="0" collapsed="false">
      <c r="A11" s="4" t="s">
        <v>39</v>
      </c>
      <c r="B11" s="7" t="n">
        <v>0.8</v>
      </c>
      <c r="C11" s="7" t="n">
        <v>26.71</v>
      </c>
      <c r="D11" s="4" t="s">
        <v>40</v>
      </c>
    </row>
    <row r="12" customFormat="false" ht="15" hidden="false" customHeight="false" outlineLevel="0" collapsed="false">
      <c r="A12" s="4" t="s">
        <v>41</v>
      </c>
      <c r="B12" s="7" t="n">
        <v>0.04</v>
      </c>
      <c r="C12" s="7" t="n">
        <v>11.65</v>
      </c>
      <c r="D12" s="4" t="s">
        <v>42</v>
      </c>
    </row>
    <row r="13" customFormat="false" ht="15" hidden="false" customHeight="false" outlineLevel="0" collapsed="false">
      <c r="A13" s="4" t="s">
        <v>43</v>
      </c>
      <c r="B13" s="12" t="n">
        <f aca="false">B11/B12</f>
        <v>20</v>
      </c>
      <c r="C13" s="12" t="n">
        <f aca="false">C11/C12</f>
        <v>2.29270386266094</v>
      </c>
      <c r="D13" s="4" t="s">
        <v>44</v>
      </c>
    </row>
    <row r="15" customFormat="false" ht="15" hidden="false" customHeight="false" outlineLevel="0" collapsed="false">
      <c r="A15" s="13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46</v>
      </c>
    </row>
    <row r="3" customFormat="false" ht="15" hidden="false" customHeight="false" outlineLevel="0" collapsed="false">
      <c r="A3" s="14" t="s">
        <v>47</v>
      </c>
    </row>
    <row r="4" customFormat="false" ht="26.85" hidden="false" customHeight="false" outlineLevel="0" collapsed="false">
      <c r="A4" s="14" t="s">
        <v>48</v>
      </c>
    </row>
    <row r="5" customFormat="false" ht="26.85" hidden="false" customHeight="false" outlineLevel="0" collapsed="false">
      <c r="A5" s="14" t="s">
        <v>49</v>
      </c>
    </row>
    <row r="6" customFormat="false" ht="15" hidden="false" customHeight="false" outlineLevel="0" collapsed="false">
      <c r="A6" s="14" t="s">
        <v>50</v>
      </c>
    </row>
    <row r="7" customFormat="false" ht="15" hidden="false" customHeight="false" outlineLevel="0" collapsed="false">
      <c r="A7" s="14" t="s">
        <v>51</v>
      </c>
    </row>
    <row r="8" customFormat="false" ht="15" hidden="false" customHeight="false" outlineLevel="0" collapsed="false">
      <c r="A8" s="14" t="s">
        <v>52</v>
      </c>
    </row>
    <row r="9" customFormat="false" ht="15" hidden="false" customHeight="false" outlineLevel="0" collapsed="false">
      <c r="A9" s="14" t="s">
        <v>53</v>
      </c>
    </row>
    <row r="10" customFormat="false" ht="26.85" hidden="false" customHeight="false" outlineLevel="0" collapsed="false">
      <c r="A10" s="14" t="s">
        <v>54</v>
      </c>
    </row>
    <row r="11" customFormat="false" ht="15" hidden="false" customHeight="false" outlineLevel="0" collapsed="false">
      <c r="A11" s="14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2026-10-06T10:36:44Z</dcterms:created>
  <dc:creator>openpyxl</dc:creator>
  <dc:description/>
  <dc:language>en-US</dc:language>
  <cp:lastModifiedBy/>
  <dcterms:modified xsi:type="dcterms:W3CDTF">2026-10-06T10:36:44Z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